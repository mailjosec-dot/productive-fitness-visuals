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4bcf5b02c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944825099841ad"/>
    <x:sheet xmlns:r="http://schemas.openxmlformats.org/officeDocument/2006/relationships" name="Visual Blueprint" sheetId="2" r:id="R4bc77eaf24514825"/>
    <x:sheet xmlns:r="http://schemas.openxmlformats.org/officeDocument/2006/relationships" name="Style Guide" sheetId="3" r:id="R27d29fdbce9e4c5d"/>
    <x:sheet xmlns:r="http://schemas.openxmlformats.org/officeDocument/2006/relationships" name="Codex Workflow" sheetId="4" r:id="Re57da6d2442c4f0e"/>
    <x:sheet xmlns:r="http://schemas.openxmlformats.org/officeDocument/2006/relationships" name="Prompt Template" sheetId="5" r:id="R922f294a6a7d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b418da9a6423b" /><Relationship Type="http://schemas.openxmlformats.org/officeDocument/2006/relationships/theme" Target="/xl/theme/theme1.xml" Id="R0bce6b854f5c4bdf" /><Relationship Type="http://schemas.openxmlformats.org/officeDocument/2006/relationships/sharedStrings" Target="/xl/sharedStrings.xml" Id="R6561ceeaf6cb4db3" /><Relationship Type="http://schemas.openxmlformats.org/officeDocument/2006/relationships/worksheet" Target="/xl/worksheets/sheet1.xml" Id="R52944825099841ad" /><Relationship Type="http://schemas.openxmlformats.org/officeDocument/2006/relationships/worksheet" Target="/xl/worksheets/sheet2.xml" Id="R4bc77eaf24514825" /><Relationship Type="http://schemas.openxmlformats.org/officeDocument/2006/relationships/worksheet" Target="/xl/worksheets/sheet3.xml" Id="R27d29fdbce9e4c5d" /><Relationship Type="http://schemas.openxmlformats.org/officeDocument/2006/relationships/worksheet" Target="/xl/worksheets/sheet4.xml" Id="Re57da6d2442c4f0e" /><Relationship Type="http://schemas.openxmlformats.org/officeDocument/2006/relationships/worksheet" Target="/xl/worksheets/sheet5.xml" Id="R922f294a6a7d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3" max="3" width="22" hidden="0" customWidth="1"/>
  </x:cols>
  <x:sheetData>
    <x:row r="1">
      <x:c r="A1" s="14" t="str">
        <x:v>Productive Fitness Visual Production Pack v2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t="str">
        <x:v>Total Assets</x:v>
      </x:c>
      <x:c r="B3" t="n">
        <x:f>COUNTA('Visual Blueprint'!A2:A200)</x:f>
        <x:v>51</x:v>
      </x:c>
      <x:c r="D3" t="str">
        <x:v>Workflow Step</x:v>
      </x:c>
      <x:c r="E3" t="str">
        <x:v>Owner</x:v>
      </x:c>
      <x:c r="F3" t="str">
        <x:v>Tool</x:v>
      </x:c>
      <x:c r="G3" t="str">
        <x:v>Output</x:v>
      </x:c>
      <x:c r="H3" t="str">
        <x:v>Status</x:v>
      </x:c>
    </x:row>
    <x:row r="4">
      <x:c r="A4" t="str">
        <x:v>Critical Assets</x:v>
      </x:c>
      <x:c r="B4" t="n">
        <x:f>COUNTIF('Visual Blueprint'!E2:E200,"Critical")</x:f>
        <x:v>24</x:v>
      </x:c>
      <x:c r="D4" t="str">
        <x:v>1. Generate prompt files</x:v>
      </x:c>
      <x:c r="E4" t="str">
        <x:v>Codex</x:v>
      </x:c>
      <x:c r="F4" t="str">
        <x:v>Repo + AGENTS.md</x:v>
      </x:c>
      <x:c r="G4" t="str">
        <x:v>/prompts/{ID}.md</x:v>
      </x:c>
      <x:c r="H4" t="str">
        <x:v>Ready</x:v>
      </x:c>
    </x:row>
    <x:row r="5">
      <x:c r="A5" t="str">
        <x:v>High Priority Assets</x:v>
      </x:c>
      <x:c r="B5" t="n">
        <x:f>COUNTIF('Visual Blueprint'!E2:E200,"High")</x:f>
        <x:v>24</x:v>
      </x:c>
      <x:c r="D5" t="str">
        <x:v>2. Generate images</x:v>
      </x:c>
      <x:c r="E5" t="str">
        <x:v>ChatGPT Images or Images API</x:v>
      </x:c>
      <x:c r="F5" t="str">
        <x:v>Prompt files</x:v>
      </x:c>
      <x:c r="G5" t="str">
        <x:v>/images/{ID}.png</x:v>
      </x:c>
      <x:c r="H5" t="str">
        <x:v>Manual/API</x:v>
      </x:c>
    </x:row>
    <x:row r="6">
      <x:c r="A6" t="str">
        <x:v>Not Started</x:v>
      </x:c>
      <x:c r="B6" t="n">
        <x:f>COUNTIF('Visual Blueprint'!J2:J200,"Not Started")</x:f>
        <x:v>50</x:v>
      </x:c>
      <x:c r="D6" t="str">
        <x:v>3. Review assets</x:v>
      </x:c>
      <x:c r="E6" t="str">
        <x:v>Human reviewer</x:v>
      </x:c>
      <x:c r="F6" t="str">
        <x:v>Asset tracker</x:v>
      </x:c>
      <x:c r="G6" t="str">
        <x:v>/approved or /rejected</x:v>
      </x:c>
      <x:c r="H6" t="str">
        <x:v>Pending</x:v>
      </x:c>
    </x:row>
    <x:row r="7">
      <x:c r="A7" t="str">
        <x:v>Draft Generated</x:v>
      </x:c>
      <x:c r="B7" t="n">
        <x:f>COUNTIF('Visual Blueprint'!J2:J200,"Draft Generated")</x:f>
        <x:v>1</x:v>
      </x:c>
      <x:c r="D7" t="str">
        <x:v>4. Update tracker</x:v>
      </x:c>
      <x:c r="E7" t="str">
        <x:v>Codex/script</x:v>
      </x:c>
      <x:c r="F7" t="str">
        <x:v>XLSX/CSV</x:v>
      </x:c>
      <x:c r="G7" t="str">
        <x:v>Status columns</x:v>
      </x:c>
      <x:c r="H7" t="str">
        <x:v>Ready</x:v>
      </x:c>
    </x:row>
    <x:row r="8">
      <x:c r="A8" t="str">
        <x:v>Approved</x:v>
      </x:c>
      <x:c r="B8" t="n">
        <x:f>COUNTIF('Visual Blueprint'!J2:J200,"Approved")</x:f>
        <x:v>0</x:v>
      </x:c>
      <x:c r="D8" t="str">
        <x:v>5. Insert in manuscript</x:v>
      </x:c>
      <x:c r="E8" t="str">
        <x:v>Publisher/designer</x:v>
      </x:c>
      <x:c r="F8" t="str">
        <x:v>Approved PNGs</x:v>
      </x:c>
      <x:c r="G8" t="str">
        <x:v>Book layouts</x:v>
      </x:c>
      <x:c r="H8" t="str">
        <x:v>Pending</x:v>
      </x:c>
    </x:row>
    <x:row r="9">
      <x:c r="A9" t="str">
        <x:v>Rejected</x:v>
      </x:c>
      <x:c r="B9" t="n">
        <x:f>COUNTIF('Visual Blueprint'!J2:J200,"Rejected")</x:f>
        <x:v>0</x:v>
      </x:c>
      <x:c r="D9" t="str">
        <x:v>6. Create social variants</x:v>
      </x:c>
      <x:c r="E9" t="str">
        <x:v>Codex + Images API</x:v>
      </x:c>
      <x:c r="F9" t="str">
        <x:v>Approved core assets</x:v>
      </x:c>
      <x:c r="G9" t="str">
        <x:v>Social files</x:v>
      </x:c>
      <x:c r="H9" t="str">
        <x:v>Later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7.09000015258789" hidden="0" customWidth="1"/>
    <x:col min="3" max="3" width="30" hidden="0" customWidth="1"/>
    <x:col min="4" max="4" width="58" hidden="0" customWidth="1"/>
    <x:col min="5" max="5" width="6.730000019073486" hidden="0" customWidth="1"/>
    <x:col min="6" max="6" width="7.400000095367432" hidden="0" customWidth="1"/>
    <x:col min="7" max="7" width="4.039999961853027" hidden="0" customWidth="1"/>
    <x:col min="8" max="8" width="4.710000038146973" hidden="0" customWidth="1"/>
    <x:col min="9" max="9" width="5.519999980926514" hidden="0" customWidth="1"/>
    <x:col min="10" max="10" width="18" hidden="0" customWidth="1"/>
  </x:cols>
  <x:sheetData>
    <x:row r="1">
      <x:c r="A1" s="10" t="str">
        <x:v>ID</x:v>
      </x:c>
      <x:c r="B1" s="10" t="str">
        <x:v>Chapter</x:v>
      </x:c>
      <x:c r="C1" s="10" t="str">
        <x:v>Title</x:v>
      </x:c>
      <x:c r="D1" s="10" t="str">
        <x:v>Purpose</x:v>
      </x:c>
      <x:c r="E1" s="10" t="str">
        <x:v>Priority</x:v>
      </x:c>
      <x:c r="F1" s="10" t="str">
        <x:v>Format</x:v>
      </x:c>
      <x:c r="G1" s="10" t="str">
        <x:v>Book</x:v>
      </x:c>
      <x:c r="H1" s="10" t="str">
        <x:v>Social</x:v>
      </x:c>
      <x:c r="I1" s="10" t="str">
        <x:v>Course</x:v>
      </x:c>
      <x:c r="J1" s="10" t="str">
        <x:v>Status</x:v>
      </x:c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PF-001</x:v>
      </x:c>
      <x:c r="B2" t="str">
        <x:v>Signature Framework</x:v>
      </x:c>
      <x:c r="C2" t="str">
        <x:v>Productive Fitness Operating System™</x:v>
      </x:c>
      <x:c r="D2" t="str">
        <x:v>Master framework showing Mindset, Fitness, Nutrition, and Supplementation producing Automatic Execution.</x:v>
      </x:c>
      <x:c r="E2" t="str">
        <x:v>Critical</x:v>
      </x:c>
      <x:c r="F2" t="str">
        <x:v>Full Page</x:v>
      </x:c>
      <x:c r="G2" t="str">
        <x:v>Yes</x:v>
      </x:c>
      <x:c r="H2" t="str">
        <x:v>Yes</x:v>
      </x:c>
      <x:c r="I2" t="str">
        <x:v>Yes</x:v>
      </x:c>
      <x:c r="J2" t="str">
        <x:v>Not Started</x:v>
      </x:c>
    </x:row>
    <x:row r="3">
      <x:c r="A3" t="str">
        <x:v>PF-002</x:v>
      </x:c>
      <x:c r="B3" t="str">
        <x:v>Signature Framework</x:v>
      </x:c>
      <x:c r="C3" t="str">
        <x:v>Automatic Execution System™</x:v>
      </x:c>
      <x:c r="D3" t="str">
        <x:v>Show how trigger, action, proof, identity, and automation create consistency.</x:v>
      </x:c>
      <x:c r="E3" t="str">
        <x:v>Critical</x:v>
      </x:c>
      <x:c r="F3" t="str">
        <x:v>Full Page</x:v>
      </x:c>
      <x:c r="G3" t="str">
        <x:v>Yes</x:v>
      </x:c>
      <x:c r="H3" t="str">
        <x:v>Yes</x:v>
      </x:c>
      <x:c r="I3" t="str">
        <x:v>Yes</x:v>
      </x:c>
      <x:c r="J3" t="str">
        <x:v>Not Started</x:v>
      </x:c>
    </x:row>
    <x:row r="4">
      <x:c r="A4" t="str">
        <x:v>PF-003</x:v>
      </x:c>
      <x:c r="B4" t="str">
        <x:v>Signature Framework</x:v>
      </x:c>
      <x:c r="C4" t="str">
        <x:v>Identity Installation Loop™</x:v>
      </x:c>
      <x:c r="D4" t="str">
        <x:v>Show how small actions create evidence, self-trust, identity, and more action.</x:v>
      </x:c>
      <x:c r="E4" t="str">
        <x:v>Critical</x:v>
      </x:c>
      <x:c r="F4" t="str">
        <x:v>Full Page</x:v>
      </x:c>
      <x:c r="G4" t="str">
        <x:v>Yes</x:v>
      </x:c>
      <x:c r="H4" t="str">
        <x:v>Yes</x:v>
      </x:c>
      <x:c r="I4" t="str">
        <x:v>Yes</x:v>
      </x:c>
      <x:c r="J4" t="str">
        <x:v>Not Started</x:v>
      </x:c>
    </x:row>
    <x:row r="5">
      <x:c r="A5" t="str">
        <x:v>PF-004</x:v>
      </x:c>
      <x:c r="B5" t="str">
        <x:v>Signature Framework</x:v>
      </x:c>
      <x:c r="C5" t="str">
        <x:v>90-Day Rewiring Method™</x:v>
      </x:c>
      <x:c r="D5" t="str">
        <x:v>Show 30-day phases from conscious installation to subconscious integration to identity automation.</x:v>
      </x:c>
      <x:c r="E5" t="str">
        <x:v>Critical</x:v>
      </x:c>
      <x:c r="F5" t="str">
        <x:v>Full Page</x:v>
      </x:c>
      <x:c r="G5" t="str">
        <x:v>Yes</x:v>
      </x:c>
      <x:c r="H5" t="str">
        <x:v>Yes</x:v>
      </x:c>
      <x:c r="I5" t="str">
        <x:v>Yes</x:v>
      </x:c>
      <x:c r="J5" t="str">
        <x:v>Not Started</x:v>
      </x:c>
    </x:row>
    <x:row r="6">
      <x:c r="A6" t="str">
        <x:v>PF-005</x:v>
      </x:c>
      <x:c r="B6" t="str">
        <x:v>Signature Framework</x:v>
      </x:c>
      <x:c r="C6" t="str">
        <x:v>Productive Fitness Scoreboard™</x:v>
      </x:c>
      <x:c r="D6" t="str">
        <x:v>Dashboard for execution, nutrition, recovery, and consistency.</x:v>
      </x:c>
      <x:c r="E6" t="str">
        <x:v>Critical</x:v>
      </x:c>
      <x:c r="F6" t="str">
        <x:v>Full Page</x:v>
      </x:c>
      <x:c r="G6" t="str">
        <x:v>Yes</x:v>
      </x:c>
      <x:c r="H6" t="str">
        <x:v>Yes</x:v>
      </x:c>
      <x:c r="I6" t="str">
        <x:v>Yes</x:v>
      </x:c>
      <x:c r="J6" t="str">
        <x:v>Not Started</x:v>
      </x:c>
    </x:row>
    <x:row r="7">
      <x:c r="A7" t="str">
        <x:v>PF-006</x:v>
      </x:c>
      <x:c r="B7" t="str">
        <x:v>Signature Framework</x:v>
      </x:c>
      <x:c r="C7" t="str">
        <x:v>Productivity Killers Ecosystem™</x:v>
      </x:c>
      <x:c r="D7" t="str">
        <x:v>Map the five killers: overthinking, motivation dependency, negative spiral, knowledge-action gap, timeline trap.</x:v>
      </x:c>
      <x:c r="E7" t="str">
        <x:v>Critical</x:v>
      </x:c>
      <x:c r="F7" t="str">
        <x:v>Full Page</x:v>
      </x:c>
      <x:c r="G7" t="str">
        <x:v>Yes</x:v>
      </x:c>
      <x:c r="H7" t="str">
        <x:v>Yes</x:v>
      </x:c>
      <x:c r="I7" t="str">
        <x:v>Yes</x:v>
      </x:c>
      <x:c r="J7" t="str">
        <x:v>Not Started</x:v>
      </x:c>
    </x:row>
    <x:row r="8">
      <x:c r="A8" t="str">
        <x:v>PF-007</x:v>
      </x:c>
      <x:c r="B8" t="str">
        <x:v>Signature Framework</x:v>
      </x:c>
      <x:c r="C8" t="str">
        <x:v>Productivity Drivers Ecosystem™</x:v>
      </x:c>
      <x:c r="D8" t="str">
        <x:v>Map drivers: flow state, deep work workouts, zoom switch, mental rehearsal, systems over goals.</x:v>
      </x:c>
      <x:c r="E8" t="str">
        <x:v>Critical</x:v>
      </x:c>
      <x:c r="F8" t="str">
        <x:v>Full Page</x:v>
      </x:c>
      <x:c r="G8" t="str">
        <x:v>Yes</x:v>
      </x:c>
      <x:c r="H8" t="str">
        <x:v>Yes</x:v>
      </x:c>
      <x:c r="I8" t="str">
        <x:v>Yes</x:v>
      </x:c>
      <x:c r="J8" t="str">
        <x:v>Not Started</x:v>
      </x:c>
    </x:row>
    <x:row r="9">
      <x:c r="A9" t="str">
        <x:v>PF-008</x:v>
      </x:c>
      <x:c r="B9" t="str">
        <x:v>Signature Framework</x:v>
      </x:c>
      <x:c r="C9" t="str">
        <x:v>Personal ROI Dashboard™</x:v>
      </x:c>
      <x:c r="D9" t="str">
        <x:v>Show time, energy, money, health, and consistency as measurable returns.</x:v>
      </x:c>
      <x:c r="E9" t="str">
        <x:v>Critical</x:v>
      </x:c>
      <x:c r="F9" t="str">
        <x:v>Full Page</x:v>
      </x:c>
      <x:c r="G9" t="str">
        <x:v>Yes</x:v>
      </x:c>
      <x:c r="H9" t="str">
        <x:v>Yes</x:v>
      </x:c>
      <x:c r="I9" t="str">
        <x:v>Yes</x:v>
      </x:c>
      <x:c r="J9" t="str">
        <x:v>Not Started</x:v>
      </x:c>
    </x:row>
    <x:row r="10">
      <x:c r="A10" t="str">
        <x:v>PF-009</x:v>
      </x:c>
      <x:c r="B10" t="str">
        <x:v>Signature Framework</x:v>
      </x:c>
      <x:c r="C10" t="str">
        <x:v>Zero Friction Nutrition System™</x:v>
      </x:c>
      <x:c r="D10" t="str">
        <x:v>Show nutrition decisions made easier through defaults, prep, protein anchors, and environment design.</x:v>
      </x:c>
      <x:c r="E10" t="str">
        <x:v>Critical</x:v>
      </x:c>
      <x:c r="F10" t="str">
        <x:v>Full Page</x:v>
      </x:c>
      <x:c r="G10" t="str">
        <x:v>Yes</x:v>
      </x:c>
      <x:c r="H10" t="str">
        <x:v>Yes</x:v>
      </x:c>
      <x:c r="I10" t="str">
        <x:v>Yes</x:v>
      </x:c>
      <x:c r="J10" t="str">
        <x:v>Not Started</x:v>
      </x:c>
    </x:row>
    <x:row r="11">
      <x:c r="A11" t="str">
        <x:v>PF-010</x:v>
      </x:c>
      <x:c r="B11" t="str">
        <x:v>Signature Framework</x:v>
      </x:c>
      <x:c r="C11" t="str">
        <x:v>Smart Supplementation System™</x:v>
      </x:c>
      <x:c r="D11" t="str">
        <x:v>Show supplements as amplifiers of basics, not replacements for execution.</x:v>
      </x:c>
      <x:c r="E11" t="str">
        <x:v>Critical</x:v>
      </x:c>
      <x:c r="F11" t="str">
        <x:v>Full Page</x:v>
      </x:c>
      <x:c r="G11" t="str">
        <x:v>Yes</x:v>
      </x:c>
      <x:c r="H11" t="str">
        <x:v>Yes</x:v>
      </x:c>
      <x:c r="I11" t="str">
        <x:v>Yes</x:v>
      </x:c>
      <x:c r="J11" t="str">
        <x:v>Not Started</x:v>
      </x:c>
    </x:row>
    <x:row r="12">
      <x:c r="A12" t="str">
        <x:v>INT-01</x:v>
      </x:c>
      <x:c r="B12" t="str">
        <x:v>Introduction</x:v>
      </x:c>
      <x:c r="C12" t="str">
        <x:v>Fitness Industry Profit Machine</x:v>
      </x:c>
      <x:c r="D12" t="str">
        <x:v>Show how motivation programs lead to failure, self-blame, and repurchase.</x:v>
      </x:c>
      <x:c r="E12" t="str">
        <x:v>High</x:v>
      </x:c>
      <x:c r="F12" t="str">
        <x:v>Full Page</x:v>
      </x:c>
      <x:c r="G12" t="str">
        <x:v>Yes</x:v>
      </x:c>
      <x:c r="H12" t="str">
        <x:v>Yes</x:v>
      </x:c>
      <x:c r="I12" t="str">
        <x:v>No</x:v>
      </x:c>
      <x:c r="J12" t="str">
        <x:v>Not Started</x:v>
      </x:c>
    </x:row>
    <x:row r="13">
      <x:c r="A13" t="str">
        <x:v>INT-02</x:v>
      </x:c>
      <x:c r="B13" t="str">
        <x:v>Introduction</x:v>
      </x:c>
      <x:c r="C13" t="str">
        <x:v>The Restart Cycle</x:v>
      </x:c>
      <x:c r="D13" t="str">
        <x:v>Show the recurring loop: start strong, miss workout, guilt, quit, start Monday.</x:v>
      </x:c>
      <x:c r="E13" t="str">
        <x:v>Critical</x:v>
      </x:c>
      <x:c r="F13" t="str">
        <x:v>Full Page</x:v>
      </x:c>
      <x:c r="G13" t="str">
        <x:v>Yes</x:v>
      </x:c>
      <x:c r="H13" t="str">
        <x:v>Yes</x:v>
      </x:c>
      <x:c r="I13" t="str">
        <x:v>No</x:v>
      </x:c>
      <x:c r="J13" t="str">
        <x:v>Draft Generated</x:v>
      </x:c>
    </x:row>
    <x:row r="14">
      <x:c r="A14" t="str">
        <x:v>INT-03</x:v>
      </x:c>
      <x:c r="B14" t="str">
        <x:v>Introduction</x:v>
      </x:c>
      <x:c r="C14" t="str">
        <x:v>Motivation vs Systems</x:v>
      </x:c>
      <x:c r="D14" t="str">
        <x:v>Compare short-lived motivation with durable system execution.</x:v>
      </x:c>
      <x:c r="E14" t="str">
        <x:v>High</x:v>
      </x:c>
      <x:c r="F14" t="str">
        <x:v>Half Page</x:v>
      </x:c>
      <x:c r="G14" t="str">
        <x:v>Yes</x:v>
      </x:c>
      <x:c r="H14" t="str">
        <x:v>Yes</x:v>
      </x:c>
      <x:c r="I14" t="str">
        <x:v>No</x:v>
      </x:c>
      <x:c r="J14" t="str">
        <x:v>Not Started</x:v>
      </x:c>
    </x:row>
    <x:row r="15">
      <x:c r="A15" t="str">
        <x:v>INT-04</x:v>
      </x:c>
      <x:c r="B15" t="str">
        <x:v>Introduction</x:v>
      </x:c>
      <x:c r="C15" t="str">
        <x:v>Product vs Proof</x:v>
      </x:c>
      <x:c r="D15" t="str">
        <x:v>Contrast buying products with building behavioral proof.</x:v>
      </x:c>
      <x:c r="E15" t="str">
        <x:v>Medium</x:v>
      </x:c>
      <x:c r="F15" t="str">
        <x:v>Half Page</x:v>
      </x:c>
      <x:c r="G15" t="str">
        <x:v>Yes</x:v>
      </x:c>
      <x:c r="H15" t="str">
        <x:v>Yes</x:v>
      </x:c>
      <x:c r="I15" t="str">
        <x:v>No</x:v>
      </x:c>
      <x:c r="J15" t="str">
        <x:v>Not Started</x:v>
      </x:c>
    </x:row>
    <x:row r="16">
      <x:c r="A16" t="str">
        <x:v>INT-05</x:v>
      </x:c>
      <x:c r="B16" t="str">
        <x:v>Introduction</x:v>
      </x:c>
      <x:c r="C16" t="str">
        <x:v>Exit Door Illustration</x:v>
      </x:c>
      <x:c r="D16" t="str">
        <x:v>Show leaving the fitness industry's failure loop through a system door.</x:v>
      </x:c>
      <x:c r="E16" t="str">
        <x:v>High</x:v>
      </x:c>
      <x:c r="F16" t="str">
        <x:v>Full Page</x:v>
      </x:c>
      <x:c r="G16" t="str">
        <x:v>Yes</x:v>
      </x:c>
      <x:c r="H16" t="str">
        <x:v>Yes</x:v>
      </x:c>
      <x:c r="I16" t="str">
        <x:v>No</x:v>
      </x:c>
      <x:c r="J16" t="str">
        <x:v>Not Started</x:v>
      </x:c>
    </x:row>
    <x:row r="17">
      <x:c r="A17" t="str">
        <x:v>C1-01</x:v>
      </x:c>
      <x:c r="B17" t="str">
        <x:v>Chapter 1</x:v>
      </x:c>
      <x:c r="C17" t="str">
        <x:v>Execution vs Optimization Scale</x:v>
      </x:c>
      <x:c r="D17" t="str">
        <x:v>Show 90% execution and 10% optimization as the correct ratio.</x:v>
      </x:c>
      <x:c r="E17" t="str">
        <x:v>Critical</x:v>
      </x:c>
      <x:c r="F17" t="str">
        <x:v>Full Page</x:v>
      </x:c>
      <x:c r="G17" t="str">
        <x:v>Yes</x:v>
      </x:c>
      <x:c r="H17" t="str">
        <x:v>Yes</x:v>
      </x:c>
      <x:c r="I17" t="str">
        <x:v>No</x:v>
      </x:c>
      <x:c r="J17" t="str">
        <x:v>Not Started</x:v>
      </x:c>
    </x:row>
    <x:row r="18">
      <x:c r="A18" t="str">
        <x:v>C1-02</x:v>
      </x:c>
      <x:c r="B18" t="str">
        <x:v>Chapter 1</x:v>
      </x:c>
      <x:c r="C18" t="str">
        <x:v>Polishing The Car Before Building It</x:v>
      </x:c>
      <x:c r="D18" t="str">
        <x:v>Show someone polishing detached parts instead of building the car.</x:v>
      </x:c>
      <x:c r="E18" t="str">
        <x:v>High</x:v>
      </x:c>
      <x:c r="F18" t="str">
        <x:v>Full Page</x:v>
      </x:c>
      <x:c r="G18" t="str">
        <x:v>Yes</x:v>
      </x:c>
      <x:c r="H18" t="str">
        <x:v>Yes</x:v>
      </x:c>
      <x:c r="I18" t="str">
        <x:v>No</x:v>
      </x:c>
      <x:c r="J18" t="str">
        <x:v>Not Started</x:v>
      </x:c>
    </x:row>
    <x:row r="19">
      <x:c r="A19" t="str">
        <x:v>C1-03</x:v>
      </x:c>
      <x:c r="B19" t="str">
        <x:v>Chapter 1</x:v>
      </x:c>
      <x:c r="C19" t="str">
        <x:v>Research Treadmill</x:v>
      </x:c>
      <x:c r="D19" t="str">
        <x:v>Show a person running on research screens with progress at zero.</x:v>
      </x:c>
      <x:c r="E19" t="str">
        <x:v>High</x:v>
      </x:c>
      <x:c r="F19" t="str">
        <x:v>Half Page</x:v>
      </x:c>
      <x:c r="G19" t="str">
        <x:v>Yes</x:v>
      </x:c>
      <x:c r="H19" t="str">
        <x:v>Yes</x:v>
      </x:c>
      <x:c r="I19" t="str">
        <x:v>No</x:v>
      </x:c>
      <x:c r="J19" t="str">
        <x:v>Not Started</x:v>
      </x:c>
    </x:row>
    <x:row r="20">
      <x:c r="A20" t="str">
        <x:v>C1-04</x:v>
      </x:c>
      <x:c r="B20" t="str">
        <x:v>Chapter 1</x:v>
      </x:c>
      <x:c r="C20" t="str">
        <x:v>Optimization Multiplier</x:v>
      </x:c>
      <x:c r="D20" t="str">
        <x:v>Show Execution × Optimization with zero execution resulting in zero.</x:v>
      </x:c>
      <x:c r="E20" t="str">
        <x:v>Critical</x:v>
      </x:c>
      <x:c r="F20" t="str">
        <x:v>Full Page</x:v>
      </x:c>
      <x:c r="G20" t="str">
        <x:v>Yes</x:v>
      </x:c>
      <x:c r="H20" t="str">
        <x:v>Yes</x:v>
      </x:c>
      <x:c r="I20" t="str">
        <x:v>No</x:v>
      </x:c>
      <x:c r="J20" t="str">
        <x:v>Not Started</x:v>
      </x:c>
    </x:row>
    <x:row r="21">
      <x:c r="A21" t="str">
        <x:v>C1-05</x:v>
      </x:c>
      <x:c r="B21" t="str">
        <x:v>Chapter 1</x:v>
      </x:c>
      <x:c r="C21" t="str">
        <x:v>Decision Fatigue Maze</x:v>
      </x:c>
      <x:c r="D21" t="str">
        <x:v>Show too many choices trapping the reader before action.</x:v>
      </x:c>
      <x:c r="E21" t="str">
        <x:v>Medium</x:v>
      </x:c>
      <x:c r="F21" t="str">
        <x:v>Half Page</x:v>
      </x:c>
      <x:c r="G21" t="str">
        <x:v>Yes</x:v>
      </x:c>
      <x:c r="H21" t="str">
        <x:v>Yes</x:v>
      </x:c>
      <x:c r="I21" t="str">
        <x:v>No</x:v>
      </x:c>
      <x:c r="J21" t="str">
        <x:v>Not Started</x:v>
      </x:c>
    </x:row>
    <x:row r="22">
      <x:c r="A22" t="str">
        <x:v>C1-06</x:v>
      </x:c>
      <x:c r="B22" t="str">
        <x:v>Chapter 1</x:v>
      </x:c>
      <x:c r="C22" t="str">
        <x:v>Minimum Viable Action Bridge</x:v>
      </x:c>
      <x:c r="D22" t="str">
        <x:v>Show one tiny action as a bridge across overwhelm.</x:v>
      </x:c>
      <x:c r="E22" t="str">
        <x:v>High</x:v>
      </x:c>
      <x:c r="F22" t="str">
        <x:v>Full Page</x:v>
      </x:c>
      <x:c r="G22" t="str">
        <x:v>Yes</x:v>
      </x:c>
      <x:c r="H22" t="str">
        <x:v>Yes</x:v>
      </x:c>
      <x:c r="I22" t="str">
        <x:v>No</x:v>
      </x:c>
      <x:c r="J22" t="str">
        <x:v>Not Started</x:v>
      </x:c>
    </x:row>
    <x:row r="23">
      <x:c r="A23" t="str">
        <x:v>C1-07</x:v>
      </x:c>
      <x:c r="B23" t="str">
        <x:v>Chapter 1</x:v>
      </x:c>
      <x:c r="C23" t="str">
        <x:v>Consistency Beats Complexity</x:v>
      </x:c>
      <x:c r="D23" t="str">
        <x:v>Show simple repeated blocks beating a complex unstable structure.</x:v>
      </x:c>
      <x:c r="E23" t="str">
        <x:v>High</x:v>
      </x:c>
      <x:c r="F23" t="str">
        <x:v>Half Page</x:v>
      </x:c>
      <x:c r="G23" t="str">
        <x:v>Yes</x:v>
      </x:c>
      <x:c r="H23" t="str">
        <x:v>Yes</x:v>
      </x:c>
      <x:c r="I23" t="str">
        <x:v>No</x:v>
      </x:c>
      <x:c r="J23" t="str">
        <x:v>Not Started</x:v>
      </x:c>
    </x:row>
    <x:row r="24">
      <x:c r="A24" t="str">
        <x:v>C2-01</x:v>
      </x:c>
      <x:c r="B24" t="str">
        <x:v>Chapter 2</x:v>
      </x:c>
      <x:c r="C24" t="str">
        <x:v>Transformer vs Repeater Split Screen</x:v>
      </x:c>
      <x:c r="D24" t="str">
        <x:v>Show upward trajectory versus restart loop.</x:v>
      </x:c>
      <x:c r="E24" t="str">
        <x:v>Critical</x:v>
      </x:c>
      <x:c r="F24" t="str">
        <x:v>Full Page</x:v>
      </x:c>
      <x:c r="G24" t="str">
        <x:v>Yes</x:v>
      </x:c>
      <x:c r="H24" t="str">
        <x:v>Yes</x:v>
      </x:c>
      <x:c r="I24" t="str">
        <x:v>No</x:v>
      </x:c>
      <x:c r="J24" t="str">
        <x:v>Not Started</x:v>
      </x:c>
    </x:row>
    <x:row r="25">
      <x:c r="A25" t="str">
        <x:v>C2-02</x:v>
      </x:c>
      <x:c r="B25" t="str">
        <x:v>Chapter 2</x:v>
      </x:c>
      <x:c r="C25" t="str">
        <x:v>Same Inputs Different Outputs</x:v>
      </x:c>
      <x:c r="D25" t="str">
        <x:v>Show same plan entering two different operating systems with different outputs.</x:v>
      </x:c>
      <x:c r="E25" t="str">
        <x:v>High</x:v>
      </x:c>
      <x:c r="F25" t="str">
        <x:v>Full Page</x:v>
      </x:c>
      <x:c r="G25" t="str">
        <x:v>Yes</x:v>
      </x:c>
      <x:c r="H25" t="str">
        <x:v>Yes</x:v>
      </x:c>
      <x:c r="I25" t="str">
        <x:v>No</x:v>
      </x:c>
      <x:c r="J25" t="str">
        <x:v>Not Started</x:v>
      </x:c>
    </x:row>
    <x:row r="26">
      <x:c r="A26" t="str">
        <x:v>C2-03</x:v>
      </x:c>
      <x:c r="B26" t="str">
        <x:v>Chapter 2</x:v>
      </x:c>
      <x:c r="C26" t="str">
        <x:v>Emotional System vs Automated System</x:v>
      </x:c>
      <x:c r="D26" t="str">
        <x:v>Compare emotion-powered actions with train-track automation.</x:v>
      </x:c>
      <x:c r="E26" t="str">
        <x:v>High</x:v>
      </x:c>
      <x:c r="F26" t="str">
        <x:v>Half Page</x:v>
      </x:c>
      <x:c r="G26" t="str">
        <x:v>Yes</x:v>
      </x:c>
      <x:c r="H26" t="str">
        <x:v>Yes</x:v>
      </x:c>
      <x:c r="I26" t="str">
        <x:v>No</x:v>
      </x:c>
      <x:c r="J26" t="str">
        <x:v>Not Started</x:v>
      </x:c>
    </x:row>
    <x:row r="27">
      <x:c r="A27" t="str">
        <x:v>C2-04</x:v>
      </x:c>
      <x:c r="B27" t="str">
        <x:v>Chapter 2</x:v>
      </x:c>
      <x:c r="C27" t="str">
        <x:v>Identity Gravity</x:v>
      </x:c>
      <x:c r="D27" t="str">
        <x:v>Show identity as a magnet pulling aligned behaviors.</x:v>
      </x:c>
      <x:c r="E27" t="str">
        <x:v>Critical</x:v>
      </x:c>
      <x:c r="F27" t="str">
        <x:v>Full Page</x:v>
      </x:c>
      <x:c r="G27" t="str">
        <x:v>Yes</x:v>
      </x:c>
      <x:c r="H27" t="str">
        <x:v>Yes</x:v>
      </x:c>
      <x:c r="I27" t="str">
        <x:v>No</x:v>
      </x:c>
      <x:c r="J27" t="str">
        <x:v>Not Started</x:v>
      </x:c>
    </x:row>
    <x:row r="28">
      <x:c r="A28" t="str">
        <x:v>C2-05</x:v>
      </x:c>
      <x:c r="B28" t="str">
        <x:v>Chapter 2</x:v>
      </x:c>
      <x:c r="C28" t="str">
        <x:v>System Leak Bucket</x:v>
      </x:c>
      <x:c r="D28" t="str">
        <x:v>Show a bucket leaking motivation, decisions, environment, and excuses.</x:v>
      </x:c>
      <x:c r="E28" t="str">
        <x:v>High</x:v>
      </x:c>
      <x:c r="F28" t="str">
        <x:v>Half Page</x:v>
      </x:c>
      <x:c r="G28" t="str">
        <x:v>Yes</x:v>
      </x:c>
      <x:c r="H28" t="str">
        <x:v>Yes</x:v>
      </x:c>
      <x:c r="I28" t="str">
        <x:v>No</x:v>
      </x:c>
      <x:c r="J28" t="str">
        <x:v>Not Started</x:v>
      </x:c>
    </x:row>
    <x:row r="29">
      <x:c r="A29" t="str">
        <x:v>C2-06</x:v>
      </x:c>
      <x:c r="B29" t="str">
        <x:v>Chapter 2</x:v>
      </x:c>
      <x:c r="C29" t="str">
        <x:v>Mirror Moment</x:v>
      </x:c>
      <x:c r="D29" t="str">
        <x:v>Show shame path versus diagnosis path after a setback.</x:v>
      </x:c>
      <x:c r="E29" t="str">
        <x:v>High</x:v>
      </x:c>
      <x:c r="F29" t="str">
        <x:v>Full Page</x:v>
      </x:c>
      <x:c r="G29" t="str">
        <x:v>Yes</x:v>
      </x:c>
      <x:c r="H29" t="str">
        <x:v>Yes</x:v>
      </x:c>
      <x:c r="I29" t="str">
        <x:v>No</x:v>
      </x:c>
      <x:c r="J29" t="str">
        <x:v>Not Started</x:v>
      </x:c>
    </x:row>
    <x:row r="30">
      <x:c r="A30" t="str">
        <x:v>C2-07</x:v>
      </x:c>
      <x:c r="B30" t="str">
        <x:v>Chapter 2</x:v>
      </x:c>
      <x:c r="C30" t="str">
        <x:v>Identity Upgrade Path</x:v>
      </x:c>
      <x:c r="D30" t="str">
        <x:v>Show old identity crossing into installed future identity.</x:v>
      </x:c>
      <x:c r="E30" t="str">
        <x:v>High</x:v>
      </x:c>
      <x:c r="F30" t="str">
        <x:v>Half Page</x:v>
      </x:c>
      <x:c r="G30" t="str">
        <x:v>Yes</x:v>
      </x:c>
      <x:c r="H30" t="str">
        <x:v>Yes</x:v>
      </x:c>
      <x:c r="I30" t="str">
        <x:v>No</x:v>
      </x:c>
      <x:c r="J30" t="str">
        <x:v>Not Started</x:v>
      </x:c>
    </x:row>
    <x:row r="31">
      <x:c r="A31" t="str">
        <x:v>C3-01</x:v>
      </x:c>
      <x:c r="B31" t="str">
        <x:v>Chapter 3</x:v>
      </x:c>
      <x:c r="C31" t="str">
        <x:v>90/10 Brain Iceberg</x:v>
      </x:c>
      <x:c r="D31" t="str">
        <x:v>Show conscious 10% above water and automatic 90% below.</x:v>
      </x:c>
      <x:c r="E31" t="str">
        <x:v>Critical</x:v>
      </x:c>
      <x:c r="F31" t="str">
        <x:v>Full Page</x:v>
      </x:c>
      <x:c r="G31" t="str">
        <x:v>Yes</x:v>
      </x:c>
      <x:c r="H31" t="str">
        <x:v>Yes</x:v>
      </x:c>
      <x:c r="I31" t="str">
        <x:v>No</x:v>
      </x:c>
      <x:c r="J31" t="str">
        <x:v>Not Started</x:v>
      </x:c>
    </x:row>
    <x:row r="32">
      <x:c r="A32" t="str">
        <x:v>C3-02</x:v>
      </x:c>
      <x:c r="B32" t="str">
        <x:v>Chapter 3</x:v>
      </x:c>
      <x:c r="C32" t="str">
        <x:v>Software Upgrade</x:v>
      </x:c>
      <x:c r="D32" t="str">
        <x:v>Show old code replaced by automatic execution code.</x:v>
      </x:c>
      <x:c r="E32" t="str">
        <x:v>High</x:v>
      </x:c>
      <x:c r="F32" t="str">
        <x:v>Full Page</x:v>
      </x:c>
      <x:c r="G32" t="str">
        <x:v>Yes</x:v>
      </x:c>
      <x:c r="H32" t="str">
        <x:v>Yes</x:v>
      </x:c>
      <x:c r="I32" t="str">
        <x:v>No</x:v>
      </x:c>
      <x:c r="J32" t="str">
        <x:v>Not Started</x:v>
      </x:c>
    </x:row>
    <x:row r="33">
      <x:c r="A33" t="str">
        <x:v>C3-03</x:v>
      </x:c>
      <x:c r="B33" t="str">
        <x:v>Chapter 3</x:v>
      </x:c>
      <x:c r="C33" t="str">
        <x:v>Habit Installation Pipeline</x:v>
      </x:c>
      <x:c r="D33" t="str">
        <x:v>Show conscious installation, subconscious integration, identity automation.</x:v>
      </x:c>
      <x:c r="E33" t="str">
        <x:v>Critical</x:v>
      </x:c>
      <x:c r="F33" t="str">
        <x:v>Full Page</x:v>
      </x:c>
      <x:c r="G33" t="str">
        <x:v>Yes</x:v>
      </x:c>
      <x:c r="H33" t="str">
        <x:v>Yes</x:v>
      </x:c>
      <x:c r="I33" t="str">
        <x:v>No</x:v>
      </x:c>
      <x:c r="J33" t="str">
        <x:v>Not Started</x:v>
      </x:c>
    </x:row>
    <x:row r="34">
      <x:c r="A34" t="str">
        <x:v>C3-04</x:v>
      </x:c>
      <x:c r="B34" t="str">
        <x:v>Chapter 3</x:v>
      </x:c>
      <x:c r="C34" t="str">
        <x:v>Trigger Routine Reward Engine</x:v>
      </x:c>
      <x:c r="D34" t="str">
        <x:v>Show cue, behavior, feedback as an engine.</x:v>
      </x:c>
      <x:c r="E34" t="str">
        <x:v>Critical</x:v>
      </x:c>
      <x:c r="F34" t="str">
        <x:v>Full Page</x:v>
      </x:c>
      <x:c r="G34" t="str">
        <x:v>Yes</x:v>
      </x:c>
      <x:c r="H34" t="str">
        <x:v>Yes</x:v>
      </x:c>
      <x:c r="I34" t="str">
        <x:v>No</x:v>
      </x:c>
      <x:c r="J34" t="str">
        <x:v>Not Started</x:v>
      </x:c>
    </x:row>
    <x:row r="35">
      <x:c r="A35" t="str">
        <x:v>C3-05</x:v>
      </x:c>
      <x:c r="B35" t="str">
        <x:v>Chapter 3</x:v>
      </x:c>
      <x:c r="C35" t="str">
        <x:v>Neural Pathway Growth</x:v>
      </x:c>
      <x:c r="D35" t="str">
        <x:v>Show repeated actions strengthening a pathway.</x:v>
      </x:c>
      <x:c r="E35" t="str">
        <x:v>Medium</x:v>
      </x:c>
      <x:c r="F35" t="str">
        <x:v>Half Page</x:v>
      </x:c>
      <x:c r="G35" t="str">
        <x:v>Yes</x:v>
      </x:c>
      <x:c r="H35" t="str">
        <x:v>Yes</x:v>
      </x:c>
      <x:c r="I35" t="str">
        <x:v>No</x:v>
      </x:c>
      <x:c r="J35" t="str">
        <x:v>Not Started</x:v>
      </x:c>
    </x:row>
    <x:row r="36">
      <x:c r="A36" t="str">
        <x:v>C3-06</x:v>
      </x:c>
      <x:c r="B36" t="str">
        <x:v>Chapter 3</x:v>
      </x:c>
      <x:c r="C36" t="str">
        <x:v>Pre-Decision Framework</x:v>
      </x:c>
      <x:c r="D36" t="str">
        <x:v>Show decisions made before friction arrives.</x:v>
      </x:c>
      <x:c r="E36" t="str">
        <x:v>High</x:v>
      </x:c>
      <x:c r="F36" t="str">
        <x:v>Full Page</x:v>
      </x:c>
      <x:c r="G36" t="str">
        <x:v>Yes</x:v>
      </x:c>
      <x:c r="H36" t="str">
        <x:v>Yes</x:v>
      </x:c>
      <x:c r="I36" t="str">
        <x:v>No</x:v>
      </x:c>
      <x:c r="J36" t="str">
        <x:v>Not Started</x:v>
      </x:c>
    </x:row>
    <x:row r="37">
      <x:c r="A37" t="str">
        <x:v>C3-07</x:v>
      </x:c>
      <x:c r="B37" t="str">
        <x:v>Chapter 3</x:v>
      </x:c>
      <x:c r="C37" t="str">
        <x:v>Rewrite Your Defaults</x:v>
      </x:c>
      <x:c r="D37" t="str">
        <x:v>Show phone settings with old defaults changed to new defaults.</x:v>
      </x:c>
      <x:c r="E37" t="str">
        <x:v>High</x:v>
      </x:c>
      <x:c r="F37" t="str">
        <x:v>Half Page</x:v>
      </x:c>
      <x:c r="G37" t="str">
        <x:v>Yes</x:v>
      </x:c>
      <x:c r="H37" t="str">
        <x:v>Yes</x:v>
      </x:c>
      <x:c r="I37" t="str">
        <x:v>No</x:v>
      </x:c>
      <x:c r="J37" t="str">
        <x:v>Not Started</x:v>
      </x:c>
    </x:row>
    <x:row r="38">
      <x:c r="A38" t="str">
        <x:v>C3-08</x:v>
      </x:c>
      <x:c r="B38" t="str">
        <x:v>Chapter 3</x:v>
      </x:c>
      <x:c r="C38" t="str">
        <x:v>Automation Flywheel</x:v>
      </x:c>
      <x:c r="D38" t="str">
        <x:v>Show repeated action powering self-trust and identity.</x:v>
      </x:c>
      <x:c r="E38" t="str">
        <x:v>Critical</x:v>
      </x:c>
      <x:c r="F38" t="str">
        <x:v>Full Page</x:v>
      </x:c>
      <x:c r="G38" t="str">
        <x:v>Yes</x:v>
      </x:c>
      <x:c r="H38" t="str">
        <x:v>Yes</x:v>
      </x:c>
      <x:c r="I38" t="str">
        <x:v>No</x:v>
      </x:c>
      <x:c r="J38" t="str">
        <x:v>Not Started</x:v>
      </x:c>
    </x:row>
    <x:row r="39">
      <x:c r="A39" t="str">
        <x:v>C4-01</x:v>
      </x:c>
      <x:c r="B39" t="str">
        <x:v>Chapter 4</x:v>
      </x:c>
      <x:c r="C39" t="str">
        <x:v>Analysis Paralysis Loop</x:v>
      </x:c>
      <x:c r="D39" t="str">
        <x:v>Show research, overwhelm, delay, guilt, and more research.</x:v>
      </x:c>
      <x:c r="E39" t="str">
        <x:v>Critical</x:v>
      </x:c>
      <x:c r="F39" t="str">
        <x:v>Full Page</x:v>
      </x:c>
      <x:c r="G39" t="str">
        <x:v>Yes</x:v>
      </x:c>
      <x:c r="H39" t="str">
        <x:v>Yes</x:v>
      </x:c>
      <x:c r="I39" t="str">
        <x:v>No</x:v>
      </x:c>
      <x:c r="J39" t="str">
        <x:v>Not Started</x:v>
      </x:c>
    </x:row>
    <x:row r="40">
      <x:c r="A40" t="str">
        <x:v>C4-02</x:v>
      </x:c>
      <x:c r="B40" t="str">
        <x:v>Chapter 4</x:v>
      </x:c>
      <x:c r="C40" t="str">
        <x:v>Fear Wearing A Lab Coat</x:v>
      </x:c>
      <x:c r="D40" t="str">
        <x:v>Show fear disguised as research logic.</x:v>
      </x:c>
      <x:c r="E40" t="str">
        <x:v>High</x:v>
      </x:c>
      <x:c r="F40" t="str">
        <x:v>Full Page</x:v>
      </x:c>
      <x:c r="G40" t="str">
        <x:v>Yes</x:v>
      </x:c>
      <x:c r="H40" t="str">
        <x:v>Yes</x:v>
      </x:c>
      <x:c r="I40" t="str">
        <x:v>No</x:v>
      </x:c>
      <x:c r="J40" t="str">
        <x:v>Not Started</x:v>
      </x:c>
    </x:row>
    <x:row r="41">
      <x:c r="A41" t="str">
        <x:v>C4-03</x:v>
      </x:c>
      <x:c r="B41" t="str">
        <x:v>Chapter 4</x:v>
      </x:c>
      <x:c r="C41" t="str">
        <x:v>Information Funnel</x:v>
      </x:c>
      <x:c r="D41" t="str">
        <x:v>Show massive information input and tiny execution output.</x:v>
      </x:c>
      <x:c r="E41" t="str">
        <x:v>High</x:v>
      </x:c>
      <x:c r="F41" t="str">
        <x:v>Half Page</x:v>
      </x:c>
      <x:c r="G41" t="str">
        <x:v>Yes</x:v>
      </x:c>
      <x:c r="H41" t="str">
        <x:v>Yes</x:v>
      </x:c>
      <x:c r="I41" t="str">
        <x:v>No</x:v>
      </x:c>
      <x:c r="J41" t="str">
        <x:v>Not Started</x:v>
      </x:c>
    </x:row>
    <x:row r="42">
      <x:c r="A42" t="str">
        <x:v>C4-04</x:v>
      </x:c>
      <x:c r="B42" t="str">
        <x:v>Chapter 4</x:v>
      </x:c>
      <x:c r="C42" t="str">
        <x:v>Action Firewall</x:v>
      </x:c>
      <x:c r="D42" t="str">
        <x:v>Show action protected from endless information streams.</x:v>
      </x:c>
      <x:c r="E42" t="str">
        <x:v>High</x:v>
      </x:c>
      <x:c r="F42" t="str">
        <x:v>Full Page</x:v>
      </x:c>
      <x:c r="G42" t="str">
        <x:v>Yes</x:v>
      </x:c>
      <x:c r="H42" t="str">
        <x:v>Yes</x:v>
      </x:c>
      <x:c r="I42" t="str">
        <x:v>No</x:v>
      </x:c>
      <x:c r="J42" t="str">
        <x:v>Not Started</x:v>
      </x:c>
    </x:row>
    <x:row r="43">
      <x:c r="A43" t="str">
        <x:v>C4-05</x:v>
      </x:c>
      <x:c r="B43" t="str">
        <x:v>Chapter 4</x:v>
      </x:c>
      <x:c r="C43" t="str">
        <x:v>Ten Minute Rule</x:v>
      </x:c>
      <x:c r="D43" t="str">
        <x:v>Show a mountain converted into a ten-minute first step.</x:v>
      </x:c>
      <x:c r="E43" t="str">
        <x:v>Critical</x:v>
      </x:c>
      <x:c r="F43" t="str">
        <x:v>Full Page</x:v>
      </x:c>
      <x:c r="G43" t="str">
        <x:v>Yes</x:v>
      </x:c>
      <x:c r="H43" t="str">
        <x:v>Yes</x:v>
      </x:c>
      <x:c r="I43" t="str">
        <x:v>No</x:v>
      </x:c>
      <x:c r="J43" t="str">
        <x:v>Not Started</x:v>
      </x:c>
    </x:row>
    <x:row r="44">
      <x:c r="A44" t="str">
        <x:v>C4-06</x:v>
      </x:c>
      <x:c r="B44" t="str">
        <x:v>Chapter 4</x:v>
      </x:c>
      <x:c r="C44" t="str">
        <x:v>Confidence Equation</x:v>
      </x:c>
      <x:c r="D44" t="str">
        <x:v>Show action leading to evidence leading to confidence.</x:v>
      </x:c>
      <x:c r="E44" t="str">
        <x:v>High</x:v>
      </x:c>
      <x:c r="F44" t="str">
        <x:v>Half Page</x:v>
      </x:c>
      <x:c r="G44" t="str">
        <x:v>Yes</x:v>
      </x:c>
      <x:c r="H44" t="str">
        <x:v>Yes</x:v>
      </x:c>
      <x:c r="I44" t="str">
        <x:v>No</x:v>
      </x:c>
      <x:c r="J44" t="str">
        <x:v>Not Started</x:v>
      </x:c>
    </x:row>
    <x:row r="45">
      <x:c r="A45" t="str">
        <x:v>C4-07</x:v>
      </x:c>
      <x:c r="B45" t="str">
        <x:v>Chapter 4</x:v>
      </x:c>
      <x:c r="C45" t="str">
        <x:v>Decision Action Protocol</x:v>
      </x:c>
      <x:c r="D45" t="str">
        <x:v>Show decide once, act fast, evaluate data.</x:v>
      </x:c>
      <x:c r="E45" t="str">
        <x:v>Critical</x:v>
      </x:c>
      <x:c r="F45" t="str">
        <x:v>Full Page</x:v>
      </x:c>
      <x:c r="G45" t="str">
        <x:v>Yes</x:v>
      </x:c>
      <x:c r="H45" t="str">
        <x:v>Yes</x:v>
      </x:c>
      <x:c r="I45" t="str">
        <x:v>No</x:v>
      </x:c>
      <x:c r="J45" t="str">
        <x:v>Not Started</x:v>
      </x:c>
    </x:row>
    <x:row r="46">
      <x:c r="A46" t="str">
        <x:v>C5-01</x:v>
      </x:c>
      <x:c r="B46" t="str">
        <x:v>Chapter 5</x:v>
      </x:c>
      <x:c r="C46" t="str">
        <x:v>Motivation Death Curve</x:v>
      </x:c>
      <x:c r="D46" t="str">
        <x:v>Show peak of promise, valley of emotion, system plateau.</x:v>
      </x:c>
      <x:c r="E46" t="str">
        <x:v>Critical</x:v>
      </x:c>
      <x:c r="F46" t="str">
        <x:v>Full Page</x:v>
      </x:c>
      <x:c r="G46" t="str">
        <x:v>Yes</x:v>
      </x:c>
      <x:c r="H46" t="str">
        <x:v>Yes</x:v>
      </x:c>
      <x:c r="I46" t="str">
        <x:v>No</x:v>
      </x:c>
      <x:c r="J46" t="str">
        <x:v>Not Started</x:v>
      </x:c>
    </x:row>
    <x:row r="47">
      <x:c r="A47" t="str">
        <x:v>C5-02</x:v>
      </x:c>
      <x:c r="B47" t="str">
        <x:v>Chapter 5</x:v>
      </x:c>
      <x:c r="C47" t="str">
        <x:v>Matchstick vs Solar Panel</x:v>
      </x:c>
      <x:c r="D47" t="str">
        <x:v>Compare spark motivation against renewable systems.</x:v>
      </x:c>
      <x:c r="E47" t="str">
        <x:v>High</x:v>
      </x:c>
      <x:c r="F47" t="str">
        <x:v>Half Page</x:v>
      </x:c>
      <x:c r="G47" t="str">
        <x:v>Yes</x:v>
      </x:c>
      <x:c r="H47" t="str">
        <x:v>Yes</x:v>
      </x:c>
      <x:c r="I47" t="str">
        <x:v>No</x:v>
      </x:c>
      <x:c r="J47" t="str">
        <x:v>Not Started</x:v>
      </x:c>
    </x:row>
    <x:row r="48">
      <x:c r="A48" t="str">
        <x:v>C5-03</x:v>
      </x:c>
      <x:c r="B48" t="str">
        <x:v>Chapter 5</x:v>
      </x:c>
      <x:c r="C48" t="str">
        <x:v>Four Levels Framework</x:v>
      </x:c>
      <x:c r="D48" t="str">
        <x:v>Show crasher, conditional doer, competitor, transformer.</x:v>
      </x:c>
      <x:c r="E48" t="str">
        <x:v>Critical</x:v>
      </x:c>
      <x:c r="F48" t="str">
        <x:v>Full Page</x:v>
      </x:c>
      <x:c r="G48" t="str">
        <x:v>Yes</x:v>
      </x:c>
      <x:c r="H48" t="str">
        <x:v>Yes</x:v>
      </x:c>
      <x:c r="I48" t="str">
        <x:v>No</x:v>
      </x:c>
      <x:c r="J48" t="str">
        <x:v>Not Started</x:v>
      </x:c>
    </x:row>
    <x:row r="49">
      <x:c r="A49" t="str">
        <x:v>C5-04</x:v>
      </x:c>
      <x:c r="B49" t="str">
        <x:v>Chapter 5</x:v>
      </x:c>
      <x:c r="C49" t="str">
        <x:v>Minimum Standards Model</x:v>
      </x:c>
      <x:c r="D49" t="str">
        <x:v>Show worst-day habits surviving a storm.</x:v>
      </x:c>
      <x:c r="E49" t="str">
        <x:v>High</x:v>
      </x:c>
      <x:c r="F49" t="str">
        <x:v>Full Page</x:v>
      </x:c>
      <x:c r="G49" t="str">
        <x:v>Yes</x:v>
      </x:c>
      <x:c r="H49" t="str">
        <x:v>Yes</x:v>
      </x:c>
      <x:c r="I49" t="str">
        <x:v>No</x:v>
      </x:c>
      <x:c r="J49" t="str">
        <x:v>Not Started</x:v>
      </x:c>
    </x:row>
    <x:row r="50">
      <x:c r="A50" t="str">
        <x:v>C5-05</x:v>
      </x:c>
      <x:c r="B50" t="str">
        <x:v>Chapter 5</x:v>
      </x:c>
      <x:c r="C50" t="str">
        <x:v>Emotional Fuel vs Functional Systems</x:v>
      </x:c>
      <x:c r="D50" t="str">
        <x:v>Show fuel tank versus power grid.</x:v>
      </x:c>
      <x:c r="E50" t="str">
        <x:v>High</x:v>
      </x:c>
      <x:c r="F50" t="str">
        <x:v>Half Page</x:v>
      </x:c>
      <x:c r="G50" t="str">
        <x:v>Yes</x:v>
      </x:c>
      <x:c r="H50" t="str">
        <x:v>Yes</x:v>
      </x:c>
      <x:c r="I50" t="str">
        <x:v>No</x:v>
      </x:c>
      <x:c r="J50" t="str">
        <x:v>Not Started</x:v>
      </x:c>
    </x:row>
    <x:row r="51">
      <x:c r="A51" t="str">
        <x:v>C5-06</x:v>
      </x:c>
      <x:c r="B51" t="str">
        <x:v>Chapter 5</x:v>
      </x:c>
      <x:c r="C51" t="str">
        <x:v>Feeling Like It vs Still Required</x:v>
      </x:c>
      <x:c r="D51" t="str">
        <x:v>Show a fork where requirements override feelings.</x:v>
      </x:c>
      <x:c r="E51" t="str">
        <x:v>High</x:v>
      </x:c>
      <x:c r="F51" t="str">
        <x:v>Half Page</x:v>
      </x:c>
      <x:c r="G51" t="str">
        <x:v>Yes</x:v>
      </x:c>
      <x:c r="H51" t="str">
        <x:v>Yes</x:v>
      </x:c>
      <x:c r="I51" t="str">
        <x:v>No</x:v>
      </x:c>
      <x:c r="J51" t="str">
        <x:v>Not Started</x:v>
      </x:c>
    </x:row>
    <x:row r="52">
      <x:c r="A52" t="str">
        <x:v>C5-07</x:v>
      </x:c>
      <x:c r="B52" t="str">
        <x:v>Chapter 5</x:v>
      </x:c>
      <x:c r="C52" t="str">
        <x:v>Automation Trigger Network</x:v>
      </x:c>
      <x:c r="D52" t="str">
        <x:v>Show environment cues triggering automatic behavior.</x:v>
      </x:c>
      <x:c r="E52" t="str">
        <x:v>High</x:v>
      </x:c>
      <x:c r="F52" t="str">
        <x:v>Full Page</x:v>
      </x:c>
      <x:c r="G52" t="str">
        <x:v>Yes</x:v>
      </x:c>
      <x:c r="H52" t="str">
        <x:v>Yes</x:v>
      </x:c>
      <x:c r="I52" t="str">
        <x:v>No</x:v>
      </x:c>
      <x:c r="J52" t="str">
        <x:v>Not Started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90" hidden="0" customWidth="1"/>
  </x:cols>
  <x:sheetData>
    <x:row r="1">
      <x:c r="A1" s="10" t="str">
        <x:v>Category</x:v>
      </x:c>
      <x:c r="B1" s="10" t="str">
        <x:v>Rule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Core Principle</x:v>
      </x:c>
      <x:c r="B2" t="str">
        <x:v>Every sketch should look like it came from the same notebook: black marker, simple, consistent, book-ready.</x:v>
      </x:c>
    </x:row>
    <x:row r="3">
      <x:c r="A3" t="str">
        <x:v>Characters</x:v>
      </x:c>
      <x:c r="B3" t="str">
        <x:v>Circular head, two dot eyes, no nose, simple stick limbs, neutral/happy/frustrated/thinking/celebrating expressions only.</x:v>
      </x:c>
    </x:row>
    <x:row r="4">
      <x:c r="A4" t="str">
        <x:v>Line Art</x:v>
      </x:c>
      <x:c r="B4" t="str">
        <x:v>Black marker only. Heavy titles, medium objects, light details. No color, no gradients, no realistic rendering.</x:v>
      </x:c>
    </x:row>
    <x:row r="5">
      <x:c r="A5" t="str">
        <x:v>Labels</x:v>
      </x:c>
      <x:c r="B5" t="str">
        <x:v>Use ALL CAPS, handwritten feel, 1–4 words per label whenever possible.</x:v>
      </x:c>
    </x:row>
    <x:row r="6">
      <x:c r="A6" t="str">
        <x:v>Layouts</x:v>
      </x:c>
      <x:c r="B6" t="str">
        <x:v>Top title, middle main visual, bottom outcome. Keep generous margins.</x:v>
      </x:c>
    </x:row>
    <x:row r="7">
      <x:c r="A7" t="str">
        <x:v>Framework Boxes</x:v>
      </x:c>
      <x:c r="B7" t="str">
        <x:v>Rounded corners, black outline, no fill, consistent spacing.</x:v>
      </x:c>
    </x:row>
    <x:row r="8">
      <x:c r="A8" t="str">
        <x:v>Arrows</x:v>
      </x:c>
      <x:c r="B8" t="str">
        <x:v>Thick black hand-drawn arrows with rounded tips. Do not mix arrow styles.</x:v>
      </x:c>
    </x:row>
    <x:row r="9">
      <x:c r="A9" t="str">
        <x:v>Recurring Symbols</x:v>
      </x:c>
      <x:c r="B9" t="str">
        <x:v>Lightning bolt = execution; gear = systems; brain = mindset; dumbbell = fitness; plate = nutrition; capsule = supplements; clock = consistency; trophy = outcome.</x:v>
      </x:c>
    </x:row>
    <x:row r="10">
      <x:c r="A10" t="str">
        <x:v>Originality</x:v>
      </x:c>
      <x:c r="B10" t="str">
        <x:v>Do not copy reference images, proprietary diagrams, page layouts, icon arrangements, or visual metaphors. Style inspiration only.</x:v>
      </x:c>
    </x:row>
    <x:row r="11">
      <x:c r="A11" t="str">
        <x:v>Image Background</x:v>
      </x:c>
      <x:c r="B11" t="str">
        <x:v>Request transparent background when possible; otherwise clean white isolated line art.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90" hidden="0" customWidth="1"/>
  </x:cols>
  <x:sheetData>
    <x:row r="1">
      <x:c r="A1" s="10" t="str">
        <x:v>Step</x:v>
      </x:c>
      <x:c r="B1" s="10" t="str">
        <x:v>Instruction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1</x:v>
      </x:c>
      <x:c r="B2" t="str">
        <x:v>Create/connect GitHub repo named productive-fitness-visuals.</x:v>
      </x:c>
    </x:row>
    <x:row r="3">
      <x:c r="A3" t="str">
        <x:v>2</x:v>
      </x:c>
      <x:c r="B3" t="str">
        <x:v>Unzip this production pack into the repo root.</x:v>
      </x:c>
    </x:row>
    <x:row r="4">
      <x:c r="A4" t="str">
        <x:v>3</x:v>
      </x:c>
      <x:c r="B4" t="str">
        <x:v>Confirm folders exist: blueprint, style-guide, prompts, images, approved, rejected, scripts.</x:v>
      </x:c>
    </x:row>
    <x:row r="5">
      <x:c r="A5" t="str">
        <x:v>4</x:v>
      </x:c>
      <x:c r="B5" t="str">
        <x:v>Open Codex and connect the repo.</x:v>
      </x:c>
    </x:row>
    <x:row r="6">
      <x:c r="A6" t="str">
        <x:v>5</x:v>
      </x:c>
      <x:c r="B6" t="str">
        <x:v>First Codex task: inspect blueprint and create production-ready prompt files for PF-001 through PF-010 only.</x:v>
      </x:c>
    </x:row>
    <x:row r="7">
      <x:c r="A7" t="str">
        <x:v>6</x:v>
      </x:c>
      <x:c r="B7" t="str">
        <x:v>Review prompt files manually before image generation.</x:v>
      </x:c>
    </x:row>
    <x:row r="8">
      <x:c r="A8" t="str">
        <x:v>7</x:v>
      </x:c>
      <x:c r="B8" t="str">
        <x:v>Generate images one batch at a time using ChatGPT Images or OpenAI Images API.</x:v>
      </x:c>
    </x:row>
    <x:row r="9">
      <x:c r="A9" t="str">
        <x:v>8</x:v>
      </x:c>
      <x:c r="B9" t="str">
        <x:v>Move approved images to /approved and rejected images to /rejected.</x:v>
      </x:c>
    </x:row>
    <x:row r="10">
      <x:c r="A10" t="str">
        <x:v>9</x:v>
      </x:c>
      <x:c r="B10" t="str">
        <x:v>Ask Codex to update status in blueprint CSV/XLSX after each review batch.</x:v>
      </x:c>
    </x:row>
    <x:row r="11">
      <x:c r="A11" t="str">
        <x:v>10</x:v>
      </x:c>
      <x:c r="B11" t="str">
        <x:v>Only scale to chapter-level assets after the signature 10 are visually consistent.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100" hidden="0" customWidth="1"/>
  </x:cols>
  <x:sheetData>
    <x:row r="1">
      <x:c r="A1" s="10" t="str">
        <x:v>Section</x:v>
      </x:c>
      <x:c r="B1" s="10" t="str">
        <x:v>Content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Final Image Prompt</x:v>
      </x:c>
      <x:c r="B2" t="str">
        <x:v>Create a clean hand-drawn black-marker sketch illustration with a transparent background.</x:v>
      </x:c>
    </x:row>
    <x:row r="3">
      <x:c r="A3" t="str">
        <x:v>Concept</x:v>
      </x:c>
      <x:c r="B3" t="str">
        <x:v>[One-sentence summary of the teaching point.]</x:v>
      </x:c>
    </x:row>
    <x:row r="4">
      <x:c r="A4" t="str">
        <x:v>Visual Composition</x:v>
      </x:c>
      <x:c r="B4" t="str">
        <x:v>[Describe the full sketch layout, central metaphor, supporting elements, arrows, labels, and outcome.]</x:v>
      </x:c>
    </x:row>
    <x:row r="5">
      <x:c r="A5" t="str">
        <x:v>Key Elements</x:v>
      </x:c>
      <x:c r="B5" t="str">
        <x:v>[List 4–7 visual elements.]</x:v>
      </x:c>
    </x:row>
    <x:row r="6">
      <x:c r="A6" t="str">
        <x:v>Style</x:v>
      </x:c>
      <x:c r="B6" t="str">
        <x:v>Minimal black marker doodle, simple stick figures, clean business/fitness sketch, isolated line art, no shading, no color, high readability.</x:v>
      </x:c>
    </x:row>
    <x:row r="7">
      <x:c r="A7" t="str">
        <x:v>Requirements</x:v>
      </x:c>
      <x:c r="B7" t="str">
        <x:v>Original concept, not copied from reference images, short readable labels, suitable for books, slides, courses, and professional educational materials.</x:v>
      </x:c>
    </x:row>
  </x:sheetData>
  <x:pageMargins left="0.7" right="0.7" top="0.75" bottom="0.75" header="0.3" footer="0.3"/>
</x:worksheet>
</file>